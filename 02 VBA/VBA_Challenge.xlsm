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anielle Spring\Documents\Big Data Course\Challenges\Stock Analysis\New Challenge Files\"/>
    </mc:Choice>
  </mc:AlternateContent>
  <xr:revisionPtr revIDLastSave="0" documentId="13_ncr:1_{D7CB75A1-52E8-4A48-B496-027B4952D375}" xr6:coauthVersionLast="47" xr6:coauthVersionMax="47" xr10:uidLastSave="{00000000-0000-0000-0000-000000000000}"/>
  <bookViews>
    <workbookView xWindow="-110" yWindow="-110" windowWidth="19420" windowHeight="11620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5" r:id="rId4"/>
    <sheet name="2017_2018 Data Comparison" sheetId="6" r:id="rId5"/>
  </sheets>
  <definedNames>
    <definedName name="_xlnm._FilterDatabase" localSheetId="1" hidden="1">'2018'!$A$1:$H$1</definedName>
  </definedNames>
  <calcPr calcId="191029"/>
  <pivotCaches>
    <pivotCache cacheId="3" r:id="rId6"/>
  </pivotCaches>
</workbook>
</file>

<file path=xl/calcChain.xml><?xml version="1.0" encoding="utf-8"?>
<calcChain xmlns="http://schemas.openxmlformats.org/spreadsheetml/2006/main">
  <c r="J7" i="6" l="1"/>
  <c r="I7" i="6"/>
  <c r="J6" i="6"/>
  <c r="I6" i="6"/>
  <c r="D3" i="6"/>
  <c r="D2" i="6"/>
</calcChain>
</file>

<file path=xl/sharedStrings.xml><?xml version="1.0" encoding="utf-8"?>
<sst xmlns="http://schemas.openxmlformats.org/spreadsheetml/2006/main" count="12133" uniqueCount="535">
  <si>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</si>
  <si>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</si>
  <si>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</si>
  <si>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</si>
  <si>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</si>
  <si>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</si>
  <si>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</si>
  <si>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</si>
  <si>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</si>
  <si>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</si>
  <si>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</si>
  <si>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</si>
  <si>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</si>
  <si>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</si>
  <si>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</si>
  <si>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</si>
  <si>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</si>
  <si>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</si>
  <si>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</si>
  <si>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</si>
  <si>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</si>
  <si>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</si>
  <si>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</si>
  <si>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</si>
  <si>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</si>
  <si>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</si>
  <si>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</si>
  <si>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</si>
  <si>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</si>
  <si>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</si>
  <si>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</si>
  <si>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</si>
  <si>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</si>
  <si>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</si>
  <si>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</si>
  <si>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</si>
  <si>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</si>
  <si>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</si>
  <si>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</si>
  <si>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</si>
  <si>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</si>
  <si>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</si>
  <si>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</si>
  <si>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</si>
  <si>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</si>
  <si>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</si>
  <si>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</si>
  <si>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</si>
  <si>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</si>
  <si>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</si>
  <si>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</si>
  <si>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</si>
  <si>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</si>
  <si>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</si>
  <si>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</si>
  <si>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</si>
  <si>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</si>
  <si>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</si>
  <si>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</si>
  <si>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</si>
  <si>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</si>
  <si>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</si>
  <si>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</si>
  <si>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</si>
  <si>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</si>
  <si>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</si>
  <si>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</si>
  <si>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</si>
  <si>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</si>
  <si>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</si>
  <si>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</si>
  <si>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</si>
  <si>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</si>
  <si>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</si>
  <si>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</si>
  <si>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</si>
  <si>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</si>
  <si>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</si>
  <si>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</si>
  <si>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</si>
  <si>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</si>
  <si>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</si>
  <si>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</si>
  <si>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</si>
  <si>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</si>
  <si>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</si>
  <si>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</si>
  <si>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</si>
  <si>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</si>
  <si>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</si>
  <si>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</si>
  <si>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</si>
  <si>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</si>
  <si>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</si>
  <si>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</si>
  <si>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</si>
  <si>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</si>
  <si>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</si>
  <si>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</si>
  <si>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</si>
  <si>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</si>
  <si>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</si>
  <si>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</si>
  <si>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</si>
  <si>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</si>
  <si>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</si>
  <si>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</si>
  <si>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</si>
  <si>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</si>
  <si>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</si>
  <si>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</si>
  <si>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</si>
  <si>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</si>
  <si>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</si>
  <si>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</si>
  <si>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</si>
  <si>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</si>
  <si>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</si>
  <si>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</si>
  <si>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</si>
  <si>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</si>
  <si>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</si>
  <si>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</si>
  <si>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</si>
  <si>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</si>
  <si>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</si>
  <si>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</si>
  <si>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</si>
  <si>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</si>
  <si>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</si>
  <si>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</si>
  <si>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</si>
  <si>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</si>
  <si>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</si>
  <si>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</si>
  <si>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</si>
  <si>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</si>
  <si>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</si>
  <si>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</si>
  <si>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</si>
  <si>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</si>
  <si>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</si>
  <si>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</si>
  <si>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</si>
  <si>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</si>
  <si>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</si>
  <si>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</si>
  <si>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</si>
  <si>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</si>
  <si>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</si>
  <si>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</si>
  <si>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</si>
  <si>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</si>
  <si>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</si>
  <si>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</si>
  <si>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</si>
  <si>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</si>
  <si>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</si>
  <si>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</si>
  <si>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</si>
  <si>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</si>
  <si>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</si>
  <si>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</si>
  <si>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</si>
  <si>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</si>
  <si>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</si>
  <si>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</si>
  <si>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</si>
  <si>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</si>
  <si>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</si>
  <si>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</si>
  <si>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</si>
  <si>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</si>
  <si>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</si>
  <si>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</si>
  <si>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</si>
  <si>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</si>
  <si>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</si>
  <si>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</si>
  <si>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</si>
  <si>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</si>
  <si>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</si>
  <si>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</si>
  <si>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</si>
  <si>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</si>
  <si>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</si>
  <si>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</si>
  <si>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</si>
  <si>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</si>
  <si>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</si>
  <si>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</si>
  <si>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</si>
  <si>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</si>
  <si>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</si>
  <si>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</si>
  <si>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</si>
  <si>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</si>
  <si>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</si>
  <si>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</si>
  <si>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</si>
  <si>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</si>
  <si>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</si>
  <si>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</si>
  <si>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</si>
  <si>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</si>
  <si>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</si>
  <si>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</si>
  <si>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</si>
  <si>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</si>
  <si>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</si>
  <si>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</si>
  <si>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</si>
  <si>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</si>
  <si>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</si>
  <si>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</si>
  <si>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</si>
  <si>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</si>
  <si>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</si>
  <si>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</si>
  <si>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</si>
  <si>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</si>
  <si>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</si>
  <si>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</si>
  <si>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</si>
  <si>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</si>
  <si>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</si>
  <si>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</si>
  <si>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</si>
  <si>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</si>
  <si>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</si>
  <si>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</si>
  <si>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</si>
  <si>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</si>
  <si>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</si>
  <si>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</si>
  <si>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</si>
  <si>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</si>
  <si>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</si>
  <si>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</si>
  <si>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</si>
  <si>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</si>
  <si>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</si>
  <si>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</si>
  <si>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</si>
  <si>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</si>
  <si>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</si>
  <si>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</si>
  <si>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</si>
  <si>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</si>
  <si>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</si>
  <si>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</si>
  <si>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</si>
  <si>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</si>
  <si>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</si>
  <si>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</si>
  <si>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</si>
  <si>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</si>
  <si>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</si>
  <si>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</si>
  <si>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</si>
  <si>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</si>
  <si>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</si>
  <si>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</si>
  <si>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</si>
  <si>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</si>
  <si>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</si>
  <si>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</si>
  <si>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</si>
  <si>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</si>
  <si>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</si>
  <si>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</si>
  <si>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</si>
  <si>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</si>
  <si>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</si>
  <si>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</si>
  <si>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</si>
  <si>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</si>
  <si>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</si>
  <si>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</si>
  <si>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</si>
  <si>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</si>
  <si>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</si>
  <si>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</si>
  <si>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</si>
  <si>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</si>
  <si>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</si>
  <si>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</si>
  <si>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</si>
  <si>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</si>
  <si>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</si>
  <si>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</si>
  <si>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</si>
  <si>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</si>
  <si>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</si>
  <si>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</si>
  <si>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</si>
  <si>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</si>
  <si>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</si>
  <si>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</si>
  <si>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</si>
  <si>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</si>
  <si>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</si>
  <si>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</si>
  <si>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</si>
  <si>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</si>
  <si>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</si>
  <si>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</si>
  <si>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</si>
  <si>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</si>
  <si>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</si>
  <si>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</si>
  <si>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</si>
  <si>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</si>
  <si>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</si>
  <si>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</si>
  <si>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</si>
  <si>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</si>
  <si>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</si>
  <si>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</si>
  <si>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</si>
  <si>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</si>
  <si>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</si>
  <si>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</si>
  <si>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</si>
  <si>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</si>
  <si>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</si>
  <si>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</si>
  <si>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</si>
  <si>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</si>
  <si>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</si>
  <si>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</si>
  <si>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</si>
  <si>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</si>
  <si>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</si>
  <si>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</si>
  <si>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</si>
  <si>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</si>
  <si>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</si>
  <si>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</si>
  <si>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</si>
  <si>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</si>
  <si>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</si>
  <si>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</si>
  <si>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</si>
  <si>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</si>
  <si>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</si>
  <si>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</si>
  <si>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</si>
  <si>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</si>
  <si>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</si>
  <si>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</si>
  <si>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</si>
  <si>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</si>
  <si>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</si>
  <si>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</si>
  <si>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</si>
  <si>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</si>
  <si>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</si>
  <si>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</si>
  <si>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</si>
  <si>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</si>
  <si>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</si>
  <si>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</si>
  <si>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</si>
  <si>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</si>
  <si>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</si>
  <si>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</si>
  <si>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</si>
  <si>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</si>
  <si>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</si>
  <si>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</si>
  <si>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</si>
  <si>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</si>
  <si>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</si>
  <si>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</si>
  <si>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</si>
  <si>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</si>
  <si>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</si>
  <si>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</si>
  <si>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</si>
  <si>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</si>
  <si>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</si>
  <si>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</si>
  <si>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</si>
  <si>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</si>
  <si>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</si>
  <si>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</si>
  <si>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</si>
  <si>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</si>
  <si>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</si>
  <si>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</si>
  <si>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</si>
  <si>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</si>
  <si>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</si>
  <si>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</si>
  <si>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</si>
  <si>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</si>
  <si>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</si>
  <si>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</si>
  <si>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</si>
  <si>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</si>
  <si>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</si>
  <si>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</si>
  <si>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</si>
  <si>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</si>
  <si>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</si>
  <si>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</si>
  <si>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</si>
  <si>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</si>
  <si>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</si>
  <si>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</si>
  <si>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</si>
  <si>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</si>
  <si>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</si>
  <si>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</si>
  <si>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</si>
  <si>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</si>
  <si>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</si>
  <si>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</si>
  <si>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</si>
  <si>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</si>
  <si>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</si>
  <si>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</si>
  <si>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</si>
  <si>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</si>
  <si>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</si>
  <si>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</si>
  <si>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</si>
  <si>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</si>
  <si>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</si>
  <si>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</si>
  <si>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</si>
  <si>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</si>
  <si>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</si>
  <si>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</si>
  <si>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</si>
  <si>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</si>
  <si>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</si>
  <si>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</si>
  <si>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</si>
  <si>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</si>
  <si>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</si>
  <si>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</si>
  <si>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</si>
  <si>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</si>
  <si>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</si>
  <si>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</si>
  <si>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</si>
  <si>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</si>
  <si>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</si>
  <si>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</si>
  <si>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</si>
  <si>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</si>
  <si>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</si>
  <si>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</si>
  <si>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</si>
  <si>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</si>
  <si>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</si>
  <si>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</si>
  <si>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</si>
  <si>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</si>
  <si>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</si>
  <si>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</si>
  <si>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</si>
  <si>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</si>
  <si>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</si>
  <si>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</si>
  <si>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</si>
  <si>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</si>
  <si>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</si>
  <si>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</si>
  <si>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</si>
  <si>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</si>
  <si>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</si>
  <si>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</si>
  <si>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</si>
  <si>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</si>
  <si>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</si>
  <si>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</si>
  <si>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</si>
  <si>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</si>
  <si>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</si>
  <si>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</si>
  <si>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</si>
  <si>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</si>
  <si>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</si>
  <si>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</si>
  <si>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</si>
  <si>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</si>
  <si>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</si>
  <si>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</si>
  <si>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</si>
  <si>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</si>
  <si>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</si>
  <si>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</si>
  <si>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</si>
  <si>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</si>
  <si>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</si>
  <si>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</si>
  <si>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</si>
  <si>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</si>
  <si>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</si>
  <si>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</si>
  <si>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</si>
  <si>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</si>
  <si>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</si>
  <si>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</si>
  <si>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</si>
  <si>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</si>
  <si>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</si>
  <si>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</si>
  <si>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</si>
  <si>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</si>
  <si>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</si>
  <si>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</si>
  <si>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</si>
  <si>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</si>
  <si>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</si>
  <si>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</si>
  <si>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</si>
  <si>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</si>
  <si>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</si>
  <si>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Year</t>
  </si>
  <si>
    <t>Total Daily Volume</t>
  </si>
  <si>
    <t>Return</t>
  </si>
  <si>
    <t>DQQO (Ticker: DQ)</t>
  </si>
  <si>
    <t>original</t>
  </si>
  <si>
    <t>refactored</t>
  </si>
  <si>
    <t>All Stocks (2017)</t>
  </si>
  <si>
    <t>Mean</t>
  </si>
  <si>
    <t>Total Daily Vol</t>
  </si>
  <si>
    <t>Column Labels</t>
  </si>
  <si>
    <t>Grand Total</t>
  </si>
  <si>
    <t>Row Labels</t>
  </si>
  <si>
    <t>Average of Return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</si>
</sst>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  <fill>
      <patternFill patternType="solid">
        <fgColor rgb="FFFF00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1" fillId="0" borderId="1" xfId="0" applyFont="1" applyBorder="1" applyAlignment="1">
      <alignment horizontal="center" vertical="top"/>
    </xf>
    <xf numFmtId="3" fontId="0" fillId="0" borderId="0" xfId="0" applyNumberFormat="1"/>
    <xf numFmtId="164" fontId="0" fillId="2" borderId="0" xfId="0" applyNumberFormat="1" applyFill="1"/>
    <xf numFmtId="164" fontId="0" fillId="3" borderId="0" xfId="0" applyNumberFormat="1" applyFill="1"/>
    <xf numFmtId="0" fontId="1" fillId="0" borderId="2" xfId="0" applyFont="1" applyBorder="1"/>
    <xf numFmtId="0" fontId="1" fillId="0" borderId="0" xfId="0" applyFont="1"/>
    <xf numFmtId="0" fontId="0" fillId="0" borderId="0" xfId="0" applyAlignment="1">
      <alignment horizontal="right"/>
    </xf>
    <xf numFmtId="164" fontId="0" fillId="0" borderId="1" xfId="0" applyNumberFormat="1" applyBorder="1"/>
    <xf numFmtId="3" fontId="0" fillId="0" borderId="1" xfId="0" applyNumberFormat="1" applyBorder="1"/>
    <xf numFmtId="0" fontId="1" fillId="0" borderId="1" xfId="0" applyFont="1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center" vertical="center"/>
    </xf>
    <xf numFmtId="9" fontId="0" fillId="0" borderId="0" xfId="0" applyNumberFormat="1" applyAlignment="1">
      <alignment horizontal="center" vertical="center"/>
    </xf>
  </cellXfs>
  <cellStyles count="1">
    <cellStyle name="Normal" xfId="0" builtinId="0"/>
  </cellStyles>
  <dxfs count="6"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603250</xdr:colOff>
          <xdr:row>8</xdr:row>
          <xdr:rowOff>0</xdr:rowOff>
        </xdr:from>
        <xdr:to>
          <xdr:col>9</xdr:col>
          <xdr:colOff>304800</xdr:colOff>
          <xdr:row>11</xdr:row>
          <xdr:rowOff>95250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590550</xdr:colOff>
          <xdr:row>3</xdr:row>
          <xdr:rowOff>50800</xdr:rowOff>
        </xdr:from>
        <xdr:to>
          <xdr:col>9</xdr:col>
          <xdr:colOff>298450</xdr:colOff>
          <xdr:row>6</xdr:row>
          <xdr:rowOff>146050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DQ Analysis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6</xdr:row>
          <xdr:rowOff>19050</xdr:rowOff>
        </xdr:from>
        <xdr:to>
          <xdr:col>9</xdr:col>
          <xdr:colOff>336550</xdr:colOff>
          <xdr:row>9</xdr:row>
          <xdr:rowOff>114300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 for All Stocks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11</xdr:row>
          <xdr:rowOff>19050</xdr:rowOff>
        </xdr:from>
        <xdr:to>
          <xdr:col>9</xdr:col>
          <xdr:colOff>336550</xdr:colOff>
          <xdr:row>14</xdr:row>
          <xdr:rowOff>114300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3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nielle Spring" refreshedDate="44449.956223379631" createdVersion="7" refreshedVersion="7" minRefreshableVersion="3" recordCount="24" xr:uid="{7B6ACF87-7B07-47D6-A17B-6229915F1BF0}">
  <cacheSource type="worksheet">
    <worksheetSource ref="A6:D30" sheet="2017_2018 Data Comparison"/>
  </cacheSource>
  <cacheFields count="4">
    <cacheField name="Year" numFmtId="0">
      <sharedItems containsSemiMixedTypes="0" containsString="0" containsNumber="1" containsInteger="1" minValue="2017" maxValue="2018" count="2">
        <n v="2018"/>
        <n v="2017"/>
      </sharedItems>
    </cacheField>
    <cacheField name="Ticker" numFmtId="0">
      <sharedItems count="12">
        <s v="AY"/>
        <s v="CSIQ"/>
        <s v="DQ"/>
        <s v="ENPH"/>
        <s v="FSLR"/>
        <s v="HASI"/>
        <s v="JKS"/>
        <s v="RUN"/>
        <s v="SEDG"/>
        <s v="SPWR"/>
        <s v="TERP"/>
        <s v="VSLR"/>
      </sharedItems>
    </cacheField>
    <cacheField name="Total Daily Volume" numFmtId="3">
      <sharedItems containsSemiMixedTypes="0" containsString="0" containsNumber="1" containsInteger="1" minValue="35796200" maxValue="782187000"/>
    </cacheField>
    <cacheField name="Return" numFmtId="164">
      <sharedItems containsSemiMixedTypes="0" containsString="0" containsNumber="1" minValue="-0.62601888179779053" maxValue="1.994458317756652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4">
  <r>
    <x v="0"/>
    <x v="0"/>
    <n v="83079900"/>
    <n v="-7.2847634553909302E-2"/>
  </r>
  <r>
    <x v="0"/>
    <x v="1"/>
    <n v="200879900"/>
    <n v="-0.16336052119731903"/>
  </r>
  <r>
    <x v="0"/>
    <x v="2"/>
    <n v="107873900"/>
    <n v="-0.62601888179779053"/>
  </r>
  <r>
    <x v="0"/>
    <x v="3"/>
    <n v="607473500"/>
    <n v="0.81923085451126099"/>
  </r>
  <r>
    <x v="0"/>
    <x v="4"/>
    <n v="478113900"/>
    <n v="-0.39713191986083984"/>
  </r>
  <r>
    <x v="0"/>
    <x v="5"/>
    <n v="104340600"/>
    <n v="-0.20658062398433685"/>
  </r>
  <r>
    <x v="0"/>
    <x v="6"/>
    <n v="158309000"/>
    <n v="-0.6053471565246582"/>
  </r>
  <r>
    <x v="0"/>
    <x v="7"/>
    <n v="502757100"/>
    <n v="0.83952707052230835"/>
  </r>
  <r>
    <x v="0"/>
    <x v="8"/>
    <n v="237212300"/>
    <n v="-7.7529586851596832E-2"/>
  </r>
  <r>
    <x v="0"/>
    <x v="9"/>
    <n v="538024300"/>
    <n v="-0.44593092799186707"/>
  </r>
  <r>
    <x v="0"/>
    <x v="10"/>
    <n v="151434700"/>
    <n v="-4.9957673996686935E-2"/>
  </r>
  <r>
    <x v="0"/>
    <x v="11"/>
    <n v="136539100"/>
    <n v="-3.5443063825368881E-2"/>
  </r>
  <r>
    <x v="1"/>
    <x v="0"/>
    <n v="136070900"/>
    <n v="8.9368253946304321E-2"/>
  </r>
  <r>
    <x v="1"/>
    <x v="1"/>
    <n v="310592800"/>
    <n v="0.33070248365402222"/>
  </r>
  <r>
    <x v="1"/>
    <x v="2"/>
    <n v="35796200"/>
    <n v="1.9944583177566528"/>
  </r>
  <r>
    <x v="1"/>
    <x v="3"/>
    <n v="221772100"/>
    <n v="1.2952382564544678"/>
  </r>
  <r>
    <x v="1"/>
    <x v="4"/>
    <n v="684181400"/>
    <n v="1.0131185054779053"/>
  </r>
  <r>
    <x v="1"/>
    <x v="5"/>
    <n v="80949300"/>
    <n v="0.2583681046962738"/>
  </r>
  <r>
    <x v="1"/>
    <x v="6"/>
    <n v="191632200"/>
    <n v="0.53870755434036255"/>
  </r>
  <r>
    <x v="1"/>
    <x v="7"/>
    <n v="267681300"/>
    <n v="5.5456161499023438E-2"/>
  </r>
  <r>
    <x v="1"/>
    <x v="8"/>
    <n v="206885200"/>
    <n v="1.8446969985961914"/>
  </r>
  <r>
    <x v="1"/>
    <x v="9"/>
    <n v="782187000"/>
    <n v="0.23065699636936188"/>
  </r>
  <r>
    <x v="1"/>
    <x v="10"/>
    <n v="139402800"/>
    <n v="-7.2148971259593964E-2"/>
  </r>
  <r>
    <x v="1"/>
    <x v="11"/>
    <n v="109487900"/>
    <n v="0.5000000596046447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AC5E4FB-3313-4F04-B3AB-469A8AAD42E1}" name="PivotTable1" cacheId="3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H10:K24" firstHeaderRow="1" firstDataRow="2" firstDataCol="1"/>
  <pivotFields count="4">
    <pivotField axis="axisCol" showAll="0">
      <items count="3">
        <item x="1"/>
        <item x="0"/>
        <item t="default"/>
      </items>
    </pivotField>
    <pivotField axis="axisRow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numFmtId="3" showAll="0"/>
    <pivotField dataField="1" numFmtId="164" showAll="0"/>
  </pivotFields>
  <rowFields count="1">
    <field x="1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0"/>
  </colFields>
  <colItems count="3">
    <i>
      <x/>
    </i>
    <i>
      <x v="1"/>
    </i>
    <i t="grand">
      <x/>
    </i>
  </colItems>
  <dataFields count="1">
    <dataField name="Average of Return" fld="3" subtotal="average" baseField="1" baseItem="0" numFmtId="9"/>
  </dataFields>
  <formats count="6">
    <format dxfId="5">
      <pivotArea outline="0" collapsedLevelsAreSubtotals="1" fieldPosition="0"/>
    </format>
    <format dxfId="4">
      <pivotArea dataOnly="0" labelOnly="1" fieldPosition="0">
        <references count="1">
          <reference field="0" count="0"/>
        </references>
      </pivotArea>
    </format>
    <format dxfId="3">
      <pivotArea dataOnly="0" labelOnly="1" grandCol="1" outline="0" fieldPosition="0"/>
    </format>
    <format dxfId="2">
      <pivotArea outline="0" collapsedLevelsAreSubtotals="1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Col="1" outline="0" fieldPosition="0"/>
    </format>
  </formats>
  <conditionalFormats count="4">
    <conditionalFormat priority="4">
      <pivotAreas count="1">
        <pivotArea type="data" grandCol="1" collapsedLevelsAreSubtotals="1" fieldPosition="0">
          <references count="2">
            <reference field="4294967294" count="1" selected="0">
              <x v="0"/>
            </reference>
            <reference field="1" count="1">
              <x v="0"/>
            </reference>
          </references>
        </pivotArea>
      </pivotAreas>
    </conditionalFormat>
    <conditionalFormat priority="3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1" count="1">
              <x v="0"/>
            </reference>
          </references>
        </pivotArea>
      </pivotAreas>
    </conditionalFormat>
    <conditionalFormat priority="2">
      <pivotAreas count="12">
        <pivotArea type="data" grandCol="1" collapsedLevelsAreSubtotals="1" fieldPosition="0">
          <references count="2">
            <reference field="4294967294" count="1" selected="0">
              <x v="0"/>
            </reference>
            <reference field="1" count="1">
              <x v="1"/>
            </reference>
          </references>
        </pivotArea>
        <pivotArea type="data" grandCol="1" collapsedLevelsAreSubtotals="1" fieldPosition="0">
          <references count="2">
            <reference field="4294967294" count="1" selected="0">
              <x v="0"/>
            </reference>
            <reference field="1" count="1">
              <x v="2"/>
            </reference>
          </references>
        </pivotArea>
        <pivotArea type="data" grandCol="1" collapsedLevelsAreSubtotals="1" fieldPosition="0">
          <references count="2">
            <reference field="4294967294" count="1" selected="0">
              <x v="0"/>
            </reference>
            <reference field="1" count="1">
              <x v="3"/>
            </reference>
          </references>
        </pivotArea>
        <pivotArea type="data" grandCol="1" collapsedLevelsAreSubtotals="1" fieldPosition="0">
          <references count="2">
            <reference field="4294967294" count="1" selected="0">
              <x v="0"/>
            </reference>
            <reference field="1" count="1">
              <x v="4"/>
            </reference>
          </references>
        </pivotArea>
        <pivotArea type="data" grandCol="1" collapsedLevelsAreSubtotals="1" fieldPosition="0">
          <references count="2">
            <reference field="4294967294" count="1" selected="0">
              <x v="0"/>
            </reference>
            <reference field="1" count="1">
              <x v="5"/>
            </reference>
          </references>
        </pivotArea>
        <pivotArea type="data" grandCol="1" collapsedLevelsAreSubtotals="1" fieldPosition="0">
          <references count="2">
            <reference field="4294967294" count="1" selected="0">
              <x v="0"/>
            </reference>
            <reference field="1" count="1">
              <x v="6"/>
            </reference>
          </references>
        </pivotArea>
        <pivotArea type="data" grandCol="1" collapsedLevelsAreSubtotals="1" fieldPosition="0">
          <references count="2">
            <reference field="4294967294" count="1" selected="0">
              <x v="0"/>
            </reference>
            <reference field="1" count="1">
              <x v="7"/>
            </reference>
          </references>
        </pivotArea>
        <pivotArea type="data" grandCol="1" collapsedLevelsAreSubtotals="1" fieldPosition="0">
          <references count="2">
            <reference field="4294967294" count="1" selected="0">
              <x v="0"/>
            </reference>
            <reference field="1" count="1">
              <x v="8"/>
            </reference>
          </references>
        </pivotArea>
        <pivotArea type="data" grandCol="1" collapsedLevelsAreSubtotals="1" fieldPosition="0">
          <references count="2">
            <reference field="4294967294" count="1" selected="0">
              <x v="0"/>
            </reference>
            <reference field="1" count="1">
              <x v="9"/>
            </reference>
          </references>
        </pivotArea>
        <pivotArea type="data" grandCol="1" collapsedLevelsAreSubtotals="1" fieldPosition="0">
          <references count="2">
            <reference field="4294967294" count="1" selected="0">
              <x v="0"/>
            </reference>
            <reference field="1" count="1">
              <x v="10"/>
            </reference>
          </references>
        </pivotArea>
        <pivotArea type="data" grandCol="1" collapsedLevelsAreSubtotals="1" fieldPosition="0">
          <references count="2">
            <reference field="4294967294" count="1" selected="0">
              <x v="0"/>
            </reference>
            <reference field="1" count="1">
              <x v="11"/>
            </reference>
          </references>
        </pivotArea>
        <pivotArea type="data" grandRow="1" grandCol="1" outline="0" collapsedLevelsAreSubtotals="1" fieldPosition="0">
          <references count="1">
            <reference field="4294967294" count="1" selected="0">
              <x v="0"/>
            </reference>
          </references>
        </pivotArea>
      </pivotAreas>
    </conditionalFormat>
    <conditionalFormat priority="1">
      <pivotAreas count="2">
        <pivotArea type="data" collapsedLevelsAreSubtotals="1" fieldPosition="0">
          <references count="2">
            <reference field="4294967294" count="1" selected="0">
              <x v="0"/>
            </reference>
            <reference field="1" count="11">
              <x v="1"/>
              <x v="2"/>
              <x v="3"/>
              <x v="4"/>
              <x v="5"/>
              <x v="6"/>
              <x v="7"/>
              <x v="8"/>
              <x v="9"/>
              <x v="10"/>
              <x v="11"/>
            </reference>
          </references>
        </pivotArea>
        <pivotArea type="data" grandRow="1" outline="0" collapsedLevelsAreSubtotals="1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sqref="A1:A1048576"/>
    </sheetView>
  </sheetViews>
  <sheetFormatPr defaultColWidth="8.81640625" defaultRowHeight="14.5" x14ac:dyDescent="0.35"/>
  <sheetData>
    <row r="1" spans="1:8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3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3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3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3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3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3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3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3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3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3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3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3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3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3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3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3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3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3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3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3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3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3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3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3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3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3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3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3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3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3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3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3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3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3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3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3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3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3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3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3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3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3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3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3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3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3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3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3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3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3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3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3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3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3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3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3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3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3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3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3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3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3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3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3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3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3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3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3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3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3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3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3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3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3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3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3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3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3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3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3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3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3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3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3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3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3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3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3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3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3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3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3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3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3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3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3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3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3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3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3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3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3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3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3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3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3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3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3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3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3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3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3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3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3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3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3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3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3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3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3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3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3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3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3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3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3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3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3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3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3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3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3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3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3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3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3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3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3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3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3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3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3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3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3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3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3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3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3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3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3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3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3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3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3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3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3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3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3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3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3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3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3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3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3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3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3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3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3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3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3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3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3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3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3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3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3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3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3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3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3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3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3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3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3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3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3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3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3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3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3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3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3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3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3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3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3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3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3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3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3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3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3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3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3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3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3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3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3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3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3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3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3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3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3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3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3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3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3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3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3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3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3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3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3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3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3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3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3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3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3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3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3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3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3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3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3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3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3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3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3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3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3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3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3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3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3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3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3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3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3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3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3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3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3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3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3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3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3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3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3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3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3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3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3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3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3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3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3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3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3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3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3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3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3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3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3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3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3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3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3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3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3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3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3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3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3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3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3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3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3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3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3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3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3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3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3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3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3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3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3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3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3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3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3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3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3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3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3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3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3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3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3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3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3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3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3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3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3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3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3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3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3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3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3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3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3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3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3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3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3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3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3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3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3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3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3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3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3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3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3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3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3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3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3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3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3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3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3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3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3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3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3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3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3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3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3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3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3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3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3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3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3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3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3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3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3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3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3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3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3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3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3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3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3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3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3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3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3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3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3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3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3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3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3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3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3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3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3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3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3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3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3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3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3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3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3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3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3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3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3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3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3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3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3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3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3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3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3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3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3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3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3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3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3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3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3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3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3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3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3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3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3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3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3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3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3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3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3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3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3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3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3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3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3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3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3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3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3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3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3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3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3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3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3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3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3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3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3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3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3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3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3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3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3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3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3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3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3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3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3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3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3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3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3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3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3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3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3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3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3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3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3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3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3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3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3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3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3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3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3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3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3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3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3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3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3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3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3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3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3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3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3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3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3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3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3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3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3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3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3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3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3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3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3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3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3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3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3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3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3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3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3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3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3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3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3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3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3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3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3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3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3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3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3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3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3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3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3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3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3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3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3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3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3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3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3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3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3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3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3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3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3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3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3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3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3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3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3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3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3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3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3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3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3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3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3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3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3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3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3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3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3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3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3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3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3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3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3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3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3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3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3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3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3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3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3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3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3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3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3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3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3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3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3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3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3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3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3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3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3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3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3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3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3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3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3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3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3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3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3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3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3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3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3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3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3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3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3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3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3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3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3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3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3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3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3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3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3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3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3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3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3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3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3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3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3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3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3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3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3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3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3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3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3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3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3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3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3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3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3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3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3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3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3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3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3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3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3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3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3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3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3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3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3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3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3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3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3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3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3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3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3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3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3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3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3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3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3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3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3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3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3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3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3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3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3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3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3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3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3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3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3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3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3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3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3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3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3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3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3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3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3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3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3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3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3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3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3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3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3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3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3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3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3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3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3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3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3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3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3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3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3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3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3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3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3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3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3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3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3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3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3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3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3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3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3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3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3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3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3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3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3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3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3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3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3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3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3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3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3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3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3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3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3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3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3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3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3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3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3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3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3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3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3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3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3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3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3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3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3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3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3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3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3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3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3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3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3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3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3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3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3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3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3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3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3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3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3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3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3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3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3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3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3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3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3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3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3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3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3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3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3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3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3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3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3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3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3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3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3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3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3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3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3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3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3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3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3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3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3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3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3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3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3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3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3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3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3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3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3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3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3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3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3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3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3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3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3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3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3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3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3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3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3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3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3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3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3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3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3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3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3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3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3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3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3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3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3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3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3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3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3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3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3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3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3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3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3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3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3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3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3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3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3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3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3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3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3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3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3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3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3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3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3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3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3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3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3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3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3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3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3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3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3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3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3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3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3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3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3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3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3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3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3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3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3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3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3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3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3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3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3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3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3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3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3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3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3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3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3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3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3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3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3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3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3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3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3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3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3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3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3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3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3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3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3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3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3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3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3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3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3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3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3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3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3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3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3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3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3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3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3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3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3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3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3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3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3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3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3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3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3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3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3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3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3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3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3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3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3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3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3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3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3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3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3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3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3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3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3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3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3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3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3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3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3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3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3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3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3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3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3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3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3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3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3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3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3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3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3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3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3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3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3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3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3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3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3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3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3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3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3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3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3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3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3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3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3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3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3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3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3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3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3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3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3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3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3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3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3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3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3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3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3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3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3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3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3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3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3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3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3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3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3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3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3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3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3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3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3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3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3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3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3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3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3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3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3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3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3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3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3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3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3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3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3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3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3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3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3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3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3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3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3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3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3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3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3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3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3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3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3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3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3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3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3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3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3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3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3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3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3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3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3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3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3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3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3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3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3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3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3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3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3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3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3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3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3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3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3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3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3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3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3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3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3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3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3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3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3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3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3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3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3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3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3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3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3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3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3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3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3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3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3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3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3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3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3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3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3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3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3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3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3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3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3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3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3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3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3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3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3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3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3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3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3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3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3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3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3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3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3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3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3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3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3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3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3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3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3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3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3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3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3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3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3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3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3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3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3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3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3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3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3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3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3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3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3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3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3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3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3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3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3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3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3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3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3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3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3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3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3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3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3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3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3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3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3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3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3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3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3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3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3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3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3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3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3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3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3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3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3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3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3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3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3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3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3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3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3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3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3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3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3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3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3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3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3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3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3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3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3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3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3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3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3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3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3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3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3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3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3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3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3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3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3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3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3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3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3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3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3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3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3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3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3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3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3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3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3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3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3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3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3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3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3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3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3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3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3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3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3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3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3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3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3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3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3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3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3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3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3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3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3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3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3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3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3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3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3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3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3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3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3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3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3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3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3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3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3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3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3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3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3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3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3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3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3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3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3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3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3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3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3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3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3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3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3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3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3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3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3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3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3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3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3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3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3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3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3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3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3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3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3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3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3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3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3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3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3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3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3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3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3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3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3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3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3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3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3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3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3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3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3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3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3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3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3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3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3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3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3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3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3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3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3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3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3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3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3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3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3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3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3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3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3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3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3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3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3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3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3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3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3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3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3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3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3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3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3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3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3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3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3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3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3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3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3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3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3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3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3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3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3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3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3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3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3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3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3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3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3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3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3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3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3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3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3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3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3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3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3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3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3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3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3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3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3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3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3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3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3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3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3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3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3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3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3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3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3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3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3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3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3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3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3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3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3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3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3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3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3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3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3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3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3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3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3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3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3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3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3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3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3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3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3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3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3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3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3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3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3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3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3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3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3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3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3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3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3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3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3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3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3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3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3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3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3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3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3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3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3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3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3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3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3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3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3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3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3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3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3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3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3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3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3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3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3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3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3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3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3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3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3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3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3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3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3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3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3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3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3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3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3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3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3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3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3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3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3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3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3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3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3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3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3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3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3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3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3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3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3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3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3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3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3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3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3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3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3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3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3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3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3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3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3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3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3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3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3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3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3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3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3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3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3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3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3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3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3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3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3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3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3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3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3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3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3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3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3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3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3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3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3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3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3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3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3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3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3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3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3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3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3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3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3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3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3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3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3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3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3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3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3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3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3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3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3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3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3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3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3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3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3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3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3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3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3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3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3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3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3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3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3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3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3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3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3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3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3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3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3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3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3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3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3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3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3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3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3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3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3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3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3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3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3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3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3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3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3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3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3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3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3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3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3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3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3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3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3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3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3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3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3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3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3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3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3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3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3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3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3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3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3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3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3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3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3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3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3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3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3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3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3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3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3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3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3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3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3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3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3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3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3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3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3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3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3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3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3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3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3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3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3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3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3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3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3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3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3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3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3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3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3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3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3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3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3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3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3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3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3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3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3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3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3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3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3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3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3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3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3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3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3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3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3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3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3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3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3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3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3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3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3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3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3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3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3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3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3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3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3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3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3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3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3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3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3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3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3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3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3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3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3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3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3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3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3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3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3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3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3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3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3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3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3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3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3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3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3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3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3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3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3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3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3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3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3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3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3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3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3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3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3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3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3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3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3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3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3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3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3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3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3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3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3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3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3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3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3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3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3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3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3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3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3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3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3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3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3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3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3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3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3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3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3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3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3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3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3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3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3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3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3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3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3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3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3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3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3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3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3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3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3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3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3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3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3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3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3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3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3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3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3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3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3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3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3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3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3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3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3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3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3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3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3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3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3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3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3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3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3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3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3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3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3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3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3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3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3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3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3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3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3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3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3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3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3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3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3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3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3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3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3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3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3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3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3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3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3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3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3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3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3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3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3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3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3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3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3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3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3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3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3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3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3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3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3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3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3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3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3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3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3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3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3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3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3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3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3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3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3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3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3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3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3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3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3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3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3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3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3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3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3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3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3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3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3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3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3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3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3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3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3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3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3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3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3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3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3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3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3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3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3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3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3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3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3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3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3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3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3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3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3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3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3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3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3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3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3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3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3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3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3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3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3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3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3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3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3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3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3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3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3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3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3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3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3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3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3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3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3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3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3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3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3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3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3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3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3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3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3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3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3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3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3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3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3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3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3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3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3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3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3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3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3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3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3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3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3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3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3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3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3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3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3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3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3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3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3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3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3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3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3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3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3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3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3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3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3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3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3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3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3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3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3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3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3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3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3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3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3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3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3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3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3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3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3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3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3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3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3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3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3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3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3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3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3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3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3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3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3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3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3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3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3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3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3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3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3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3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3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3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3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3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3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3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3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3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3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3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3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3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3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3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3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3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3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3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3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3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3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3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3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3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3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3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3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3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3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3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3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3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3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3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3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3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3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3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3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3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3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3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3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3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3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3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3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3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3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3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3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3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3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3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3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3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3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3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3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3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3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3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3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3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3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3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3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3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3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3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3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3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3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3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3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3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3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3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3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3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3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3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3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3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3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3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3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3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3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3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3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3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3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3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3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3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3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3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3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3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3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3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3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3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3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3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3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3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3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3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3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3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3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3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3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3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3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3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3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3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3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3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3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3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3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3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3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3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3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3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3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3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3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3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3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3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3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3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3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3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3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3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3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3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3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3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3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3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3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3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3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3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3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3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3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3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3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3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3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3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3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3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3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3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3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3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3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3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3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3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3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3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3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3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3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3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3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3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3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3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3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3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3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3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3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3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3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3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3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3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3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3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3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3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3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3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3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3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3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3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3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3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3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3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3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3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3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3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3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3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3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3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3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3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3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3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3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3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3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3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3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3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3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3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3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3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3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3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3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3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3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3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3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3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3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3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3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3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3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3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3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3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3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3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3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3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3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3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3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3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3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3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3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3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3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3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3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3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3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3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3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3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3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3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3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3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3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3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3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3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3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3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3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3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3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3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3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3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3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3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3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3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3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3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3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3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3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3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3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3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3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3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3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3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3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3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3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3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3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3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3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3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3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3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3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3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3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3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3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3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3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3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3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3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3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3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3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3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3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3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3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3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3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3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3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3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3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3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3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3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3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3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3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3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3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3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3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3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3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3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3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3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3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3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3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3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3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3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3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3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3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3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3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3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3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3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3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3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3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3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3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3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3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3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3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3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3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3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3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3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3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3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3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3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3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3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3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3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3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3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3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3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3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3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3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3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3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3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3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3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3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3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3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3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3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3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3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3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3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3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3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3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3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3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3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3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3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3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3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3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3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3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3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3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3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3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3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3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3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3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3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3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3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3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3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3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3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3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3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3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3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3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3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3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3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3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3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3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3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3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3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3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3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3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3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3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3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3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3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3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3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3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3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3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3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3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3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3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3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3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3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3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3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3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3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3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3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3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3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3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3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3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3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3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3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3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3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3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3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3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3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3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3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3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3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3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3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3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3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3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3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3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3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3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3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3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3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3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3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3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3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3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3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3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3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3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3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3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3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3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3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3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3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3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3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3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3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3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3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3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3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3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3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3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3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3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3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3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3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3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3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3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3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3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3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3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3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3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3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3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3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3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3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3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3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3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3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3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3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3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3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3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3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3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3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3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3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3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3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3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3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3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3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3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3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3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3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3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3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3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3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3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3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3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3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3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3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3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3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3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3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3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3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3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3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3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3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3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3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3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3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3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3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3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3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3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3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3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3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3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3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3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3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3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3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3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3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3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3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3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3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3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3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3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3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3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3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3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3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3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3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3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3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3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3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3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3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3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3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3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3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3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3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3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3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3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3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3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3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3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3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3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3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3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3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3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3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3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3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3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3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3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3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3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3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3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3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3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3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3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3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3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3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3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3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3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3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3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3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3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3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3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3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3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3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3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3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3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3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3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3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3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3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3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3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3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3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3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3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3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3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3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3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3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3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3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3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3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3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3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3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3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3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3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3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3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3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3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3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3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3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3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3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3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3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3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3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3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3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3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3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3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3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3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3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3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3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3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3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3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3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3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3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3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3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3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3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3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3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3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3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3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3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3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3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3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3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3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3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3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3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3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3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3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3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3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3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3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3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3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3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3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3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3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3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3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3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3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3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3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3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3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3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3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3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3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3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3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3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3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3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3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3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3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3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3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3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3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3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3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3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3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3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3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3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3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3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3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3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3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3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3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3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3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3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3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3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3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3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3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3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3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3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3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3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3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3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3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3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3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3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3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3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3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3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3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3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3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3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3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3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3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3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3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3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3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3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3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3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3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3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3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3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3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3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3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3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3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3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3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3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3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3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3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3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3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3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3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3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3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3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3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3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3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3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3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3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3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3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3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3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3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3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3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3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3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3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3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3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3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3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3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3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3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3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3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3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3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3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3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3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3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3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3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3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3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3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3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3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3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3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3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3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3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3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3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3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3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3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3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3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3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3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3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3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3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3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3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3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3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>
      <selection activeCell="H1" sqref="H1"/>
    </sheetView>
  </sheetViews>
  <sheetFormatPr defaultColWidth="8.81640625" defaultRowHeight="14.5" x14ac:dyDescent="0.35"/>
  <sheetData>
    <row r="1" spans="1:8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3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3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3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3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3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3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3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3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3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3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3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3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3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3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3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3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3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3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3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3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3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3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3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3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3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3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3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3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3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3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3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3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3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3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3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3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3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3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3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3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3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3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3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3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3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3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3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3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3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3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3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3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3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3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3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3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3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3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3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3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3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3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3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3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3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3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3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3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3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3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3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3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3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3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3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3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3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3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3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3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3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3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3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3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3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3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3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3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3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3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3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3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3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3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3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3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3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3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3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3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3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3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3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3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3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3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3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3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3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3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3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3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3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3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3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3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3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3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3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3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3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3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3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3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3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3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3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3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3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3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3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3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3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3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3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3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3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3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3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3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3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3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3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3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3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3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3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3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3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3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3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3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3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3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3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3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3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3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3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3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3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3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3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3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3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3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3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3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3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3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3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3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3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3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3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3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3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3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3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3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3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3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3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3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3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3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3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3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3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3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3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3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3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3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3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3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3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3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3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3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3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3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3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3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3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3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3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3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3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3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3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3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3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3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3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3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3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3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3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3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3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3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3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3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3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3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3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3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3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3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3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3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3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3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3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3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3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3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3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3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3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3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3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3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3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3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3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3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3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3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3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3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3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3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3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3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3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3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3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3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3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3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3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3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3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3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3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3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3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3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3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3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3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3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3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3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3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3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3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3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3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3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3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3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3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3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3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3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3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3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3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3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3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3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3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3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3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3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3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3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3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3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3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3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3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3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3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3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3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3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3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3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3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3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3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3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3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3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3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3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3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3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3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3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3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3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3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3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3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3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3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3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3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3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3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3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3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3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3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3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3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3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3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3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3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3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3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3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3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3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3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3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3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3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3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3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3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3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3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3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3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3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3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3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3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3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3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3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3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3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3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3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3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3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3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3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3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3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3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3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3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3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3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3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3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3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3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3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3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3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3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3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3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3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3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3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3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3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3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3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3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3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3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3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3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3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3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3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3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3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3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3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3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3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3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3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3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3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3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3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3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3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3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3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3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3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3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3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3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3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3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3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3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3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3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3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3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3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3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3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3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3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3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3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3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3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3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3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3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3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3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3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3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3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3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3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3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3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3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3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3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3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3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3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3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3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3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3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3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3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3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3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3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3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3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3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3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3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3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3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3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3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3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3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3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3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3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3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3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3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3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3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3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3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3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3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3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3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3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3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3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3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3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3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3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3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3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3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3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3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3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3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3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3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3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3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3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3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3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3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3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3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3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3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3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3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3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3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3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3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3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3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3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3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3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3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3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3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3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3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3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3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3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3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3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3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3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3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3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3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3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3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3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3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3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3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3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3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3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3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3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3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3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3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3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3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3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3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3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3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3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3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3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3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3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3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3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3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3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3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3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3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3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3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3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3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3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3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3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3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3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3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3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3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3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3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3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3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3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3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3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3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3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3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3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3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3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3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3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3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3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3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3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3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3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3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3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3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3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3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3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3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3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3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3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3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3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3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3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3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3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3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3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3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3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3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3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3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3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3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3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3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3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3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3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3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3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3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3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3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3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3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3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3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3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3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3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3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3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3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3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3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3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3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3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3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3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3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3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3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3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3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3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3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3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3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3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3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3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3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3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3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3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3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3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3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3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3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3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3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3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3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3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3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3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3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3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3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3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3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3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3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3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3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3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3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3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3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3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3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3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3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3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3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3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3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3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3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3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3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3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3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3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3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3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3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3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3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3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3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3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3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3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3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3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3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3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3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3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3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3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3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3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3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3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3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3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3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3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3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3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3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3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3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3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3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3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3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3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3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3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3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3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3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3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3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3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3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3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3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3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3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3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3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3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3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3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3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3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3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3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3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3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3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3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3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3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3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3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3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3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3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3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3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3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3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3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3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3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3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3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3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3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3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3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3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3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3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3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3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3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3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3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3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3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3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3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3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3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3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3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3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3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3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3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3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3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3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3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3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3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3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3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3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3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3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3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3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3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3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3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3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3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3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3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3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3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3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3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3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3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3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3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3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3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3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3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3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3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3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3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3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3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3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3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3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3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3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3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3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3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3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3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3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3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3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3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3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3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3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3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3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3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3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3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3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3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3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3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3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3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3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3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3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3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3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3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3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3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3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3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3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3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3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3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3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3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3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3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3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3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3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3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3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3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3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3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3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3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3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3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3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3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3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3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3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3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3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3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3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3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3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3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3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3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3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3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3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3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3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3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3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3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3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3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3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3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3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3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3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3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3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3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3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3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3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3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3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3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3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3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3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3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3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3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3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3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3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3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3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3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3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3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3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3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3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3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3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3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3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3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3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3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3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3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3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3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3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3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3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3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3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3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3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3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3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3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3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3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3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3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3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3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3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3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3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3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3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3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3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3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3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3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3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3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3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3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3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3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3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3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3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3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3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3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3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3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3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3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3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3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3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3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3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3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3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3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3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3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3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3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3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3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3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3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3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3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3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3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3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3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3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3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3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3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3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3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3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3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3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3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3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3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3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3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3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3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3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3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3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3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3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3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3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3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3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3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3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3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3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3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3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3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3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3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3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3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3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3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3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3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3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3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3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3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3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3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3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3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3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3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3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3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3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3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3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3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3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3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3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3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3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3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3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3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3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3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3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3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3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3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3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3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3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3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3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3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3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3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3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3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3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3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3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3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3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3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3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3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3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3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3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3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3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3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3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3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3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3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3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3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3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3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3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3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3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3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3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3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3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3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3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3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3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3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3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3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3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3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3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3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3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3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3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3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3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3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3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3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3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3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3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3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3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3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3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3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3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3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3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3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3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3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3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3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3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3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3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3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3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3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3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3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3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3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3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3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3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3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3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3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3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3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3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3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3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3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3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3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3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3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3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3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3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3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3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3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3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3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3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3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3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3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3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3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3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3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3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3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3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3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3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3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3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3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3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3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3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3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3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3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3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3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3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3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3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3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3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3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3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3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3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3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3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3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3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3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3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3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3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3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3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3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3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3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3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3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3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3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3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3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3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3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3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3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3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3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3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3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3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3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3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3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3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3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3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3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3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3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3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3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3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3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3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3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3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3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3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3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3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3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3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3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3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3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3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3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3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3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3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3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3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3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3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3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3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3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3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3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3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3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3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3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3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3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3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3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3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3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3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3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3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3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3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3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3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3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3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3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3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3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3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3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3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3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3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3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3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3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3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3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3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3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3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3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3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3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3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3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3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3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3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3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3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3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3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3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3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3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3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3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3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3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3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3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3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3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3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3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3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3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3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3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3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3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3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3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3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3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3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3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3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3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3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3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3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3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3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3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3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3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3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3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3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3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3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3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3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3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3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3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3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3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3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3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3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3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3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3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3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3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3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3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3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3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3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3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3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3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3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3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3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3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3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3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3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3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3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3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3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3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3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3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3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3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3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3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3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3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3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3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3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3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3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3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3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3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3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3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3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3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3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3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3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3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3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3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3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3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3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3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3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3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3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3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3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3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3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3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3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3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3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3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3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3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3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3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3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3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3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3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3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3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3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3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3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3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3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3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3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3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3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3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3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3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3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3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3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3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3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3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3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3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3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3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3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3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3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3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3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3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3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3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3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3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3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3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3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3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3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3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3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3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3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3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3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3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3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3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3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3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3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3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3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3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3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3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3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3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3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3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3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3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3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3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3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3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3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3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3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3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3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3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3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3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3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3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3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3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3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3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3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3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3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3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3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3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3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3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3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3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3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3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3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3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3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3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3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3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3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3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3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3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3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3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3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3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3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3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3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3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3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3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3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3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3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3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3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3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3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3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3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3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3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3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3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3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3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3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3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3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3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3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3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3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3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3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3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3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3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3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3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3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3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3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3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3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3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3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3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3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3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3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3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3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3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3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3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3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3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3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3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3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3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3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3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3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3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3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3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3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3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3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3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3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3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3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3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3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3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3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3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3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3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3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3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3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3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3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3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3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3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3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3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3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3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3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3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3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3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3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3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3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3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3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3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3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3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3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3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3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3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3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3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3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3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3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3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3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3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3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3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3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3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3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3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3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3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3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3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3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3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3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3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3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3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3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3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3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3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3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3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3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3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3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3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3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3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3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3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3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3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3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3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3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3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3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3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3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3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3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3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3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3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3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3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3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3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3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3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3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3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3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3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3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3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3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3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3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3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3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3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3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3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3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3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3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3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3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3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3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3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3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3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3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3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3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3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3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3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3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3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3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3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3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3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3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3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3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3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3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3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3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3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3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3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3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3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3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3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3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3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3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3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3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3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3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3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3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3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3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3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3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3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3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3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3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3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3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3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3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3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3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3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3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3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3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3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3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3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3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3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3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3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3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3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3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3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3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3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3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3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3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3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3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3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3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3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3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3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3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3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3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3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3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3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3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3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3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3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3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3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3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3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3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3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3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3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3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3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3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3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3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3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3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3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3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3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3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3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3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3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3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3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3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3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3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3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3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3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3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3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3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3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3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3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3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3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3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3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3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3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3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3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3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3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3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3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3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3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3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3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3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3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3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3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3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3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3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3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3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3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3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3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3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3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3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3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3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3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3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3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3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3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3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3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3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3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3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3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3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3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3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3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3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3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3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3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3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3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3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3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3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3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3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3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3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3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3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3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3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3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3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3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3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3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3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3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3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3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3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3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3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3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3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3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3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3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3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3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3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3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3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3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3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3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3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3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3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3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3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3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3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3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3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3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3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3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3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3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3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3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3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3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3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3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3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3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3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3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3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3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3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3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3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3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3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3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3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3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3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3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3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3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3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3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3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3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3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3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3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3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3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3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3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3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3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3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3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3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3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3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3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3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3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3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3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3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3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3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3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3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3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3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3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3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3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3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3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3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3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3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3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3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3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3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3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3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3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3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3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3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3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3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3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3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3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3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3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3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3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3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3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3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3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3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3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3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3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3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3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3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3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3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3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3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3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3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3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3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3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3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3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3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3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3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3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3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3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3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3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3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3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3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3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3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3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3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3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3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3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3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3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3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3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3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3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3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3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3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3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3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3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3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3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3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3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3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3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3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3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3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3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3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3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3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3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3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3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3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3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3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3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3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3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3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3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3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3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3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3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3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3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3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3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3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3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3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3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3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3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3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3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3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3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3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3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3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3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3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3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3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3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3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3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3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3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3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3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3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3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3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3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3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3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3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3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3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3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3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3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3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3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3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3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3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3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3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3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3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3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3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3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3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3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3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3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3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3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3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3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3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3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3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3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3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3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3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3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3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3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3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3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3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3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3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3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3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3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3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3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3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3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3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3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3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3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3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3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3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3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3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3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3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3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3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3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3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3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3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3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3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3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3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3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3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3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3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3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3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3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3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3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3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3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3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3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3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3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3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3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3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3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3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3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3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3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3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3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3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3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3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3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3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3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3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3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3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3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3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3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3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3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3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3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3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3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3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3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3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3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3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3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3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3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3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3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3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3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3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3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3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3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3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3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3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3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3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3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3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3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3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3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3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3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3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3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3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3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3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3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3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3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3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3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3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3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3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3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3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3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3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3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3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3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3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3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3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3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3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3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3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3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3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3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3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3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3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3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3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3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3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3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3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3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3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3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3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3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3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3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3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3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3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3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3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3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3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3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3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3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3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3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3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3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3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3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3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3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3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3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3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3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3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3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3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3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3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3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3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3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3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3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3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3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3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3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3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3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3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3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3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3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3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3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3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3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3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3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3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3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3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3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3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3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3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3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3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3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3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3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3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3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3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3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3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3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3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3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3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3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3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3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3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3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3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3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3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3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3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3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3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3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3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3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3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3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3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3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3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3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3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3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3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3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3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3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3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3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3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3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3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3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3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3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3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3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3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3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3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3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3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3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3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3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3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3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3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3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3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3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3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3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3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3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3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3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3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3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3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3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3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3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3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3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3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3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3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3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3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3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3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3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3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3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3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3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3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3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3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3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3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3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3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3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3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3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3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3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3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3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3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3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3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3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3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3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3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3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3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3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3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3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3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3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3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3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3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3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3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3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3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3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3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3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3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3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3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3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3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3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3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3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3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3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3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3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3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3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3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3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3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3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3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3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3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3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3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3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3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3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3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3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3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3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3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3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3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3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3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3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3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3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3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3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3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3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3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3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3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3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3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3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3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3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3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3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3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3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3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3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3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3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3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3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3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3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3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3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3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3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3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3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3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3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3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3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3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3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3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3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3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3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3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3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3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3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3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3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3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3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3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3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3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3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3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3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3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3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3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3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3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3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3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3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3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3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3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3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3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3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3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3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3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3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3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3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3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3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3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3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3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3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3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3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3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3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3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3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3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3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3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3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3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3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3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3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3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3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3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3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3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3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3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3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3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3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3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3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3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3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3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3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3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3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3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3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3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3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3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3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3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3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3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3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3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3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3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3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3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3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3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3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3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3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3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3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3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3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3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3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3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3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3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3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3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3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3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3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3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3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3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3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3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3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3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3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3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3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3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3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3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3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3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3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3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3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3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3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3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3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3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3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3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3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3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3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3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3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3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3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3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3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3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3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3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3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3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3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3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3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3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3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3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3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3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3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3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3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3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3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3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3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3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3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3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3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3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3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3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3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3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3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3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3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3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3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3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3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3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3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3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3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3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3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3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3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3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3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3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3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3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3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3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3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3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3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3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3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3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3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3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3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3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3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3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3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3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3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3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3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3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3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3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3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3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3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3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3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3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3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3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3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3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3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3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3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3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3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3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3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3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3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3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3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3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3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3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3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3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3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3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3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3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3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3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3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3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3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3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3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3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3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3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3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3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3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3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3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3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3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3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3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3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3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3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3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3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3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3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3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3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3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3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3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3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3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3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3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3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3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3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3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3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3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3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3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3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3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3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3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3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3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3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3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3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3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3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3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3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3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3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3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3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3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3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3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3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3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3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3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3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3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3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3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3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3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3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3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3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3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3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3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3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3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3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3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3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3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3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3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3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3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3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3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3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3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3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3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3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3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3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3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3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3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3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3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3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3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3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3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autoFilter ref="A1:H1" xr:uid="{00000000-0001-0000-0100-000000000000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0449A3-1B59-489E-ABFD-491EC6113861}">
  <sheetPr codeName="Sheet3"/>
  <dimension ref="A1:C4"/>
  <sheetViews>
    <sheetView workbookViewId="0">
      <selection activeCell="N9" sqref="N9"/>
    </sheetView>
  </sheetViews>
  <sheetFormatPr defaultRowHeight="14.5" x14ac:dyDescent="0.35"/>
  <cols>
    <col min="1" max="1" width="6.6328125" customWidth="1"/>
    <col min="2" max="2" width="17.1796875" bestFit="1" customWidth="1"/>
    <col min="3" max="3" width="6.6328125" customWidth="1"/>
  </cols>
  <sheetData>
    <row r="1" spans="1:3" x14ac:dyDescent="0.35">
      <c r="A1" t="s">
        <v>525</v>
      </c>
    </row>
    <row r="3" spans="1:3" x14ac:dyDescent="0.35">
      <c r="A3" t="s">
        <v>522</v>
      </c>
      <c r="B3" t="s">
        <v>523</v>
      </c>
      <c r="C3" t="s">
        <v>524</v>
      </c>
    </row>
    <row r="4" spans="1:3" x14ac:dyDescent="0.35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learWorksheet">
                <anchor moveWithCells="1">
                  <from>
                    <xdr:col>5</xdr:col>
                    <xdr:colOff>603250</xdr:colOff>
                    <xdr:row>8</xdr:row>
                    <xdr:rowOff>0</xdr:rowOff>
                  </from>
                  <to>
                    <xdr:col>9</xdr:col>
                    <xdr:colOff>304800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Module2.DQAnalysis">
                <anchor moveWithCells="1">
                  <from>
                    <xdr:col>5</xdr:col>
                    <xdr:colOff>590550</xdr:colOff>
                    <xdr:row>3</xdr:row>
                    <xdr:rowOff>50800</xdr:rowOff>
                  </from>
                  <to>
                    <xdr:col>9</xdr:col>
                    <xdr:colOff>298450</xdr:colOff>
                    <xdr:row>6</xdr:row>
                    <xdr:rowOff>146050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B99956-EFF1-4CA0-93CC-BD3CBDEABB0C}">
  <sheetPr codeName="Sheet4">
    <tabColor rgb="FF00B0F0"/>
  </sheetPr>
  <dimension ref="A1:C15"/>
  <sheetViews>
    <sheetView tabSelected="1" workbookViewId="0">
      <selection activeCell="L16" sqref="L16"/>
    </sheetView>
  </sheetViews>
  <sheetFormatPr defaultRowHeight="14.5" x14ac:dyDescent="0.35"/>
  <cols>
    <col min="1" max="1" width="14.7265625" bestFit="1" customWidth="1"/>
    <col min="2" max="2" width="16.6328125" bestFit="1" customWidth="1"/>
    <col min="3" max="3" width="15.81640625" bestFit="1" customWidth="1"/>
  </cols>
  <sheetData>
    <row r="1" spans="1:3" x14ac:dyDescent="0.35">
      <c r="A1" t="s">
        <v>528</v>
      </c>
    </row>
    <row r="3" spans="1:3" x14ac:dyDescent="0.35">
      <c r="A3" s="5" t="s">
        <v>0</v>
      </c>
      <c r="B3" s="5" t="s">
        <v>523</v>
      </c>
      <c r="C3" s="5" t="s">
        <v>524</v>
      </c>
    </row>
    <row r="4" spans="1:3" x14ac:dyDescent="0.35">
      <c r="A4" t="s">
        <v>8</v>
      </c>
      <c r="B4" s="2">
        <v>136070900</v>
      </c>
      <c r="C4" s="3">
        <v>8.9368253946304321E-2</v>
      </c>
    </row>
    <row r="5" spans="1:3" x14ac:dyDescent="0.35">
      <c r="A5" t="s">
        <v>9</v>
      </c>
      <c r="B5" s="2">
        <v>310592800</v>
      </c>
      <c r="C5" s="3">
        <v>0.33070248365402222</v>
      </c>
    </row>
    <row r="6" spans="1:3" x14ac:dyDescent="0.35">
      <c r="A6" t="s">
        <v>10</v>
      </c>
      <c r="B6" s="2">
        <v>35796200</v>
      </c>
      <c r="C6" s="3">
        <v>1.9944583177566528</v>
      </c>
    </row>
    <row r="7" spans="1:3" x14ac:dyDescent="0.35">
      <c r="A7" t="s">
        <v>11</v>
      </c>
      <c r="B7" s="2">
        <v>221772100</v>
      </c>
      <c r="C7" s="3">
        <v>1.2952382564544678</v>
      </c>
    </row>
    <row r="8" spans="1:3" x14ac:dyDescent="0.35">
      <c r="A8" t="s">
        <v>12</v>
      </c>
      <c r="B8" s="2">
        <v>684181400</v>
      </c>
      <c r="C8" s="3">
        <v>1.0131185054779053</v>
      </c>
    </row>
    <row r="9" spans="1:3" x14ac:dyDescent="0.35">
      <c r="A9" t="s">
        <v>13</v>
      </c>
      <c r="B9" s="2">
        <v>80949300</v>
      </c>
      <c r="C9" s="3">
        <v>0.2583681046962738</v>
      </c>
    </row>
    <row r="10" spans="1:3" x14ac:dyDescent="0.35">
      <c r="A10" t="s">
        <v>14</v>
      </c>
      <c r="B10" s="2">
        <v>191632200</v>
      </c>
      <c r="C10" s="3">
        <v>0.53870755434036255</v>
      </c>
    </row>
    <row r="11" spans="1:3" x14ac:dyDescent="0.35">
      <c r="A11" t="s">
        <v>15</v>
      </c>
      <c r="B11" s="2">
        <v>267681300</v>
      </c>
      <c r="C11" s="3">
        <v>5.5456161499023438E-2</v>
      </c>
    </row>
    <row r="12" spans="1:3" x14ac:dyDescent="0.35">
      <c r="A12" t="s">
        <v>16</v>
      </c>
      <c r="B12" s="2">
        <v>206885200</v>
      </c>
      <c r="C12" s="3">
        <v>1.8446969985961914</v>
      </c>
    </row>
    <row r="13" spans="1:3" x14ac:dyDescent="0.35">
      <c r="A13" t="s">
        <v>17</v>
      </c>
      <c r="B13" s="2">
        <v>782187000</v>
      </c>
      <c r="C13" s="3">
        <v>0.23065699636936188</v>
      </c>
    </row>
    <row r="14" spans="1:3" x14ac:dyDescent="0.35">
      <c r="A14" t="s">
        <v>18</v>
      </c>
      <c r="B14" s="2">
        <v>139402800</v>
      </c>
      <c r="C14" s="4">
        <v>-7.2148971259593964E-2</v>
      </c>
    </row>
    <row r="15" spans="1:3" x14ac:dyDescent="0.35">
      <c r="A15" t="s">
        <v>19</v>
      </c>
      <c r="B15" s="2">
        <v>109487900</v>
      </c>
      <c r="C15" s="3">
        <v>0.50000005960464478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AllStocksAnalysisRefactored">
                <anchor moveWithCells="1">
                  <from>
                    <xdr:col>6</xdr:col>
                    <xdr:colOff>19050</xdr:colOff>
                    <xdr:row>6</xdr:row>
                    <xdr:rowOff>19050</xdr:rowOff>
                  </from>
                  <to>
                    <xdr:col>9</xdr:col>
                    <xdr:colOff>336550</xdr:colOff>
                    <xdr:row>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learWorksheet">
                <anchor moveWithCells="1">
                  <from>
                    <xdr:col>6</xdr:col>
                    <xdr:colOff>19050</xdr:colOff>
                    <xdr:row>11</xdr:row>
                    <xdr:rowOff>19050</xdr:rowOff>
                  </from>
                  <to>
                    <xdr:col>9</xdr:col>
                    <xdr:colOff>336550</xdr:colOff>
                    <xdr:row>14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524265-EEAE-4E7B-A488-2F3BB6500B86}">
  <sheetPr codeName="Sheet5"/>
  <dimension ref="A1:K30"/>
  <sheetViews>
    <sheetView showGridLines="0" topLeftCell="A6" workbookViewId="0">
      <selection activeCell="L8" sqref="L8"/>
    </sheetView>
  </sheetViews>
  <sheetFormatPr defaultRowHeight="14.5" x14ac:dyDescent="0.35"/>
  <cols>
    <col min="1" max="1" width="14.36328125" bestFit="1" customWidth="1"/>
    <col min="2" max="3" width="16.6328125" bestFit="1" customWidth="1"/>
    <col min="8" max="8" width="16" bestFit="1" customWidth="1"/>
    <col min="9" max="10" width="14.7265625" customWidth="1"/>
    <col min="11" max="11" width="10.7265625" bestFit="1" customWidth="1"/>
  </cols>
  <sheetData>
    <row r="1" spans="1:11" x14ac:dyDescent="0.35">
      <c r="B1">
        <v>2017</v>
      </c>
      <c r="C1">
        <v>2018</v>
      </c>
    </row>
    <row r="2" spans="1:11" x14ac:dyDescent="0.35">
      <c r="A2" t="s">
        <v>526</v>
      </c>
      <c r="B2">
        <v>0.6875</v>
      </c>
      <c r="C2">
        <v>0.109375</v>
      </c>
      <c r="D2">
        <f>(B2-C2)/B2</f>
        <v>0.84090909090909094</v>
      </c>
    </row>
    <row r="3" spans="1:11" x14ac:dyDescent="0.35">
      <c r="A3" t="s">
        <v>527</v>
      </c>
      <c r="B3">
        <v>0.6796875</v>
      </c>
      <c r="C3">
        <v>0.1054688</v>
      </c>
      <c r="D3">
        <f>(B3-C3)/B3</f>
        <v>0.84482751264367817</v>
      </c>
    </row>
    <row r="5" spans="1:11" x14ac:dyDescent="0.35">
      <c r="I5" s="6">
        <v>2017</v>
      </c>
      <c r="J5" s="6">
        <v>2018</v>
      </c>
    </row>
    <row r="6" spans="1:11" x14ac:dyDescent="0.35">
      <c r="A6" s="7" t="s">
        <v>522</v>
      </c>
      <c r="B6" s="5" t="s">
        <v>0</v>
      </c>
      <c r="C6" s="5" t="s">
        <v>523</v>
      </c>
      <c r="D6" s="5" t="s">
        <v>524</v>
      </c>
      <c r="H6" s="10" t="s">
        <v>529</v>
      </c>
      <c r="I6" s="8">
        <f>AVERAGE(D19:D30)</f>
        <v>0.67321856009463465</v>
      </c>
      <c r="J6" s="8">
        <f>AVERAGE(D7:D18)</f>
        <v>-8.5115838795900345E-2</v>
      </c>
    </row>
    <row r="7" spans="1:11" x14ac:dyDescent="0.35">
      <c r="A7">
        <v>2018</v>
      </c>
      <c r="B7" t="s">
        <v>8</v>
      </c>
      <c r="C7" s="2">
        <v>83079900</v>
      </c>
      <c r="D7" s="4">
        <v>-7.2847634553909302E-2</v>
      </c>
      <c r="H7" s="10" t="s">
        <v>530</v>
      </c>
      <c r="I7" s="9">
        <f>SUM(C19:C30)</f>
        <v>3166639100</v>
      </c>
      <c r="J7" s="9">
        <f>SUM(C7:C18)</f>
        <v>3306038200</v>
      </c>
    </row>
    <row r="8" spans="1:11" x14ac:dyDescent="0.35">
      <c r="A8">
        <v>2018</v>
      </c>
      <c r="B8" t="s">
        <v>9</v>
      </c>
      <c r="C8" s="2">
        <v>200879900</v>
      </c>
      <c r="D8" s="4">
        <v>-0.16336052119731903</v>
      </c>
    </row>
    <row r="9" spans="1:11" x14ac:dyDescent="0.35">
      <c r="A9">
        <v>2018</v>
      </c>
      <c r="B9" t="s">
        <v>10</v>
      </c>
      <c r="C9" s="2">
        <v>107873900</v>
      </c>
      <c r="D9" s="4">
        <v>-0.62601888179779053</v>
      </c>
    </row>
    <row r="10" spans="1:11" x14ac:dyDescent="0.35">
      <c r="A10">
        <v>2018</v>
      </c>
      <c r="B10" t="s">
        <v>11</v>
      </c>
      <c r="C10" s="2">
        <v>607473500</v>
      </c>
      <c r="D10" s="3">
        <v>0.81923085451126099</v>
      </c>
      <c r="H10" s="11" t="s">
        <v>534</v>
      </c>
      <c r="I10" s="11" t="s">
        <v>531</v>
      </c>
    </row>
    <row r="11" spans="1:11" x14ac:dyDescent="0.35">
      <c r="A11">
        <v>2018</v>
      </c>
      <c r="B11" t="s">
        <v>12</v>
      </c>
      <c r="C11" s="2">
        <v>478113900</v>
      </c>
      <c r="D11" s="4">
        <v>-0.39713191986083984</v>
      </c>
      <c r="H11" s="11" t="s">
        <v>533</v>
      </c>
      <c r="I11" s="13">
        <v>2017</v>
      </c>
      <c r="J11" s="13">
        <v>2018</v>
      </c>
      <c r="K11" s="13" t="s">
        <v>532</v>
      </c>
    </row>
    <row r="12" spans="1:11" x14ac:dyDescent="0.35">
      <c r="A12">
        <v>2018</v>
      </c>
      <c r="B12" t="s">
        <v>13</v>
      </c>
      <c r="C12" s="2">
        <v>104340600</v>
      </c>
      <c r="D12" s="4">
        <v>-0.20658062398433685</v>
      </c>
      <c r="H12" s="12" t="s">
        <v>8</v>
      </c>
      <c r="I12" s="14">
        <v>8.9368253946304321E-2</v>
      </c>
      <c r="J12" s="14">
        <v>-7.2847634553909302E-2</v>
      </c>
      <c r="K12" s="14">
        <v>8.2603096961975098E-3</v>
      </c>
    </row>
    <row r="13" spans="1:11" x14ac:dyDescent="0.35">
      <c r="A13">
        <v>2018</v>
      </c>
      <c r="B13" t="s">
        <v>14</v>
      </c>
      <c r="C13" s="2">
        <v>158309000</v>
      </c>
      <c r="D13" s="4">
        <v>-0.6053471565246582</v>
      </c>
      <c r="H13" s="12" t="s">
        <v>9</v>
      </c>
      <c r="I13" s="14">
        <v>0.33070248365402222</v>
      </c>
      <c r="J13" s="14">
        <v>-0.16336052119731903</v>
      </c>
      <c r="K13" s="14">
        <v>8.3670981228351593E-2</v>
      </c>
    </row>
    <row r="14" spans="1:11" x14ac:dyDescent="0.35">
      <c r="A14">
        <v>2018</v>
      </c>
      <c r="B14" t="s">
        <v>15</v>
      </c>
      <c r="C14" s="2">
        <v>502757100</v>
      </c>
      <c r="D14" s="3">
        <v>0.83952707052230835</v>
      </c>
      <c r="H14" s="12" t="s">
        <v>10</v>
      </c>
      <c r="I14" s="14">
        <v>1.9944583177566528</v>
      </c>
      <c r="J14" s="14">
        <v>-0.62601888179779053</v>
      </c>
      <c r="K14" s="14">
        <v>0.68421971797943115</v>
      </c>
    </row>
    <row r="15" spans="1:11" x14ac:dyDescent="0.35">
      <c r="A15">
        <v>2018</v>
      </c>
      <c r="B15" t="s">
        <v>16</v>
      </c>
      <c r="C15" s="2">
        <v>237212300</v>
      </c>
      <c r="D15" s="4">
        <v>-7.7529586851596832E-2</v>
      </c>
      <c r="H15" s="12" t="s">
        <v>11</v>
      </c>
      <c r="I15" s="14">
        <v>1.2952382564544678</v>
      </c>
      <c r="J15" s="14">
        <v>0.81923085451126099</v>
      </c>
      <c r="K15" s="14">
        <v>1.0572345554828644</v>
      </c>
    </row>
    <row r="16" spans="1:11" x14ac:dyDescent="0.35">
      <c r="A16">
        <v>2018</v>
      </c>
      <c r="B16" t="s">
        <v>17</v>
      </c>
      <c r="C16" s="2">
        <v>538024300</v>
      </c>
      <c r="D16" s="4">
        <v>-0.44593092799186707</v>
      </c>
      <c r="H16" s="12" t="s">
        <v>12</v>
      </c>
      <c r="I16" s="14">
        <v>1.0131185054779053</v>
      </c>
      <c r="J16" s="14">
        <v>-0.39713191986083984</v>
      </c>
      <c r="K16" s="14">
        <v>0.30799329280853271</v>
      </c>
    </row>
    <row r="17" spans="1:11" x14ac:dyDescent="0.35">
      <c r="A17">
        <v>2018</v>
      </c>
      <c r="B17" t="s">
        <v>18</v>
      </c>
      <c r="C17" s="2">
        <v>151434700</v>
      </c>
      <c r="D17" s="4">
        <v>-4.9957673996686935E-2</v>
      </c>
      <c r="H17" s="12" t="s">
        <v>13</v>
      </c>
      <c r="I17" s="14">
        <v>0.2583681046962738</v>
      </c>
      <c r="J17" s="14">
        <v>-0.20658062398433685</v>
      </c>
      <c r="K17" s="14">
        <v>2.5893740355968475E-2</v>
      </c>
    </row>
    <row r="18" spans="1:11" x14ac:dyDescent="0.35">
      <c r="A18">
        <v>2018</v>
      </c>
      <c r="B18" t="s">
        <v>19</v>
      </c>
      <c r="C18" s="2">
        <v>136539100</v>
      </c>
      <c r="D18" s="4">
        <v>-3.5443063825368881E-2</v>
      </c>
      <c r="H18" s="12" t="s">
        <v>14</v>
      </c>
      <c r="I18" s="14">
        <v>0.53870755434036255</v>
      </c>
      <c r="J18" s="14">
        <v>-0.6053471565246582</v>
      </c>
      <c r="K18" s="14">
        <v>-3.3319801092147827E-2</v>
      </c>
    </row>
    <row r="19" spans="1:11" x14ac:dyDescent="0.35">
      <c r="A19">
        <v>2017</v>
      </c>
      <c r="B19" t="s">
        <v>8</v>
      </c>
      <c r="C19" s="2">
        <v>136070900</v>
      </c>
      <c r="D19" s="3">
        <v>8.9368253946304321E-2</v>
      </c>
      <c r="H19" s="12" t="s">
        <v>15</v>
      </c>
      <c r="I19" s="14">
        <v>5.5456161499023438E-2</v>
      </c>
      <c r="J19" s="14">
        <v>0.83952707052230835</v>
      </c>
      <c r="K19" s="14">
        <v>0.44749161601066589</v>
      </c>
    </row>
    <row r="20" spans="1:11" x14ac:dyDescent="0.35">
      <c r="A20">
        <v>2017</v>
      </c>
      <c r="B20" t="s">
        <v>9</v>
      </c>
      <c r="C20" s="2">
        <v>310592800</v>
      </c>
      <c r="D20" s="3">
        <v>0.33070248365402222</v>
      </c>
      <c r="H20" s="12" t="s">
        <v>16</v>
      </c>
      <c r="I20" s="14">
        <v>1.8446969985961914</v>
      </c>
      <c r="J20" s="14">
        <v>-7.7529586851596832E-2</v>
      </c>
      <c r="K20" s="14">
        <v>0.88358370587229729</v>
      </c>
    </row>
    <row r="21" spans="1:11" x14ac:dyDescent="0.35">
      <c r="A21">
        <v>2017</v>
      </c>
      <c r="B21" t="s">
        <v>10</v>
      </c>
      <c r="C21" s="2">
        <v>35796200</v>
      </c>
      <c r="D21" s="3">
        <v>1.9944583177566528</v>
      </c>
      <c r="H21" s="12" t="s">
        <v>17</v>
      </c>
      <c r="I21" s="14">
        <v>0.23065699636936188</v>
      </c>
      <c r="J21" s="14">
        <v>-0.44593092799186707</v>
      </c>
      <c r="K21" s="14">
        <v>-0.10763696581125259</v>
      </c>
    </row>
    <row r="22" spans="1:11" x14ac:dyDescent="0.35">
      <c r="A22">
        <v>2017</v>
      </c>
      <c r="B22" t="s">
        <v>11</v>
      </c>
      <c r="C22" s="2">
        <v>221772100</v>
      </c>
      <c r="D22" s="3">
        <v>1.2952382564544678</v>
      </c>
      <c r="H22" s="12" t="s">
        <v>18</v>
      </c>
      <c r="I22" s="14">
        <v>-7.2148971259593964E-2</v>
      </c>
      <c r="J22" s="14">
        <v>-4.9957673996686935E-2</v>
      </c>
      <c r="K22" s="14">
        <v>-6.105332262814045E-2</v>
      </c>
    </row>
    <row r="23" spans="1:11" x14ac:dyDescent="0.35">
      <c r="A23">
        <v>2017</v>
      </c>
      <c r="B23" t="s">
        <v>12</v>
      </c>
      <c r="C23" s="2">
        <v>684181400</v>
      </c>
      <c r="D23" s="3">
        <v>1.0131185054779053</v>
      </c>
      <c r="H23" s="12" t="s">
        <v>19</v>
      </c>
      <c r="I23" s="14">
        <v>0.50000005960464478</v>
      </c>
      <c r="J23" s="14">
        <v>-3.5443063825368881E-2</v>
      </c>
      <c r="K23" s="14">
        <v>0.23227849788963795</v>
      </c>
    </row>
    <row r="24" spans="1:11" x14ac:dyDescent="0.35">
      <c r="A24">
        <v>2017</v>
      </c>
      <c r="B24" t="s">
        <v>13</v>
      </c>
      <c r="C24" s="2">
        <v>80949300</v>
      </c>
      <c r="D24" s="3">
        <v>0.2583681046962738</v>
      </c>
      <c r="H24" s="12" t="s">
        <v>532</v>
      </c>
      <c r="I24" s="14">
        <v>0.67321856009463465</v>
      </c>
      <c r="J24" s="14">
        <v>-8.5115838795900345E-2</v>
      </c>
      <c r="K24" s="14">
        <v>0.29405136064936716</v>
      </c>
    </row>
    <row r="25" spans="1:11" x14ac:dyDescent="0.35">
      <c r="A25">
        <v>2017</v>
      </c>
      <c r="B25" t="s">
        <v>14</v>
      </c>
      <c r="C25" s="2">
        <v>191632200</v>
      </c>
      <c r="D25" s="3">
        <v>0.53870755434036255</v>
      </c>
    </row>
    <row r="26" spans="1:11" x14ac:dyDescent="0.35">
      <c r="A26">
        <v>2017</v>
      </c>
      <c r="B26" t="s">
        <v>15</v>
      </c>
      <c r="C26" s="2">
        <v>267681300</v>
      </c>
      <c r="D26" s="3">
        <v>5.5456161499023438E-2</v>
      </c>
    </row>
    <row r="27" spans="1:11" x14ac:dyDescent="0.35">
      <c r="A27">
        <v>2017</v>
      </c>
      <c r="B27" t="s">
        <v>16</v>
      </c>
      <c r="C27" s="2">
        <v>206885200</v>
      </c>
      <c r="D27" s="3">
        <v>1.8446969985961914</v>
      </c>
    </row>
    <row r="28" spans="1:11" x14ac:dyDescent="0.35">
      <c r="A28">
        <v>2017</v>
      </c>
      <c r="B28" t="s">
        <v>17</v>
      </c>
      <c r="C28" s="2">
        <v>782187000</v>
      </c>
      <c r="D28" s="3">
        <v>0.23065699636936188</v>
      </c>
    </row>
    <row r="29" spans="1:11" x14ac:dyDescent="0.35">
      <c r="A29">
        <v>2017</v>
      </c>
      <c r="B29" t="s">
        <v>18</v>
      </c>
      <c r="C29" s="2">
        <v>139402800</v>
      </c>
      <c r="D29" s="4">
        <v>-7.2148971259593964E-2</v>
      </c>
    </row>
    <row r="30" spans="1:11" x14ac:dyDescent="0.35">
      <c r="A30">
        <v>2017</v>
      </c>
      <c r="B30" t="s">
        <v>19</v>
      </c>
      <c r="C30" s="2">
        <v>109487900</v>
      </c>
      <c r="D30" s="3">
        <v>0.50000005960464478</v>
      </c>
    </row>
  </sheetData>
  <conditionalFormatting pivot="1" sqref="K12">
    <cfRule type="iconSet" priority="4">
      <iconSet iconSet="3Arrows">
        <cfvo type="percent" val="0"/>
        <cfvo type="percent" val="33"/>
        <cfvo type="percent" val="67"/>
      </iconSet>
    </cfRule>
  </conditionalFormatting>
  <conditionalFormatting pivot="1" sqref="I12:K12">
    <cfRule type="iconSet" priority="3">
      <iconSet iconSet="4Arrows">
        <cfvo type="percent" val="0"/>
        <cfvo type="percent" val="25"/>
        <cfvo type="percent" val="50"/>
        <cfvo type="percent" val="75"/>
      </iconSet>
    </cfRule>
  </conditionalFormatting>
  <conditionalFormatting pivot="1" sqref="K13:K24">
    <cfRule type="iconSet" priority="2">
      <iconSet iconSet="3Arrows">
        <cfvo type="percent" val="0"/>
        <cfvo type="percent" val="33"/>
        <cfvo type="percent" val="67"/>
      </iconSet>
    </cfRule>
  </conditionalFormatting>
  <conditionalFormatting pivot="1" sqref="I13:K24">
    <cfRule type="iconSet" priority="1">
      <iconSet iconSet="4Arrows">
        <cfvo type="percent" val="0"/>
        <cfvo type="percent" val="25"/>
        <cfvo type="percent" val="50"/>
        <cfvo type="percent" val="75"/>
      </iconSet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2017</vt:lpstr>
      <vt:lpstr>2018</vt:lpstr>
      <vt:lpstr>DQ Analysis</vt:lpstr>
      <vt:lpstr>All Stocks Analysis</vt:lpstr>
      <vt:lpstr>2017_2018 Data Comparison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Danielle Spring</dc:creator>
  <cp:lastModifiedBy>Danielle Spring</cp:lastModifiedBy>
  <dcterms:created xsi:type="dcterms:W3CDTF">2019-05-02T20:23:55Z</dcterms:created>
  <dcterms:modified xsi:type="dcterms:W3CDTF">2021-09-11T04:15:48Z</dcterms:modified>
</cp:coreProperties>
</file>